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Analys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<sst xmlns="http://schemas.openxmlformats.org/spreadsheetml/2006/main" count="162" uniqueCount="124">
  <si>
    <t>PRODUCT COUNT &amp; INVENTORY ANALYSIS</t>
  </si>
  <si>
    <t>Comprehensive Stock, Sales, Reorder Level &amp; Revenue Analysis</t>
  </si>
  <si>
    <t>Product ID</t>
  </si>
  <si>
    <t>Product Name</t>
  </si>
  <si>
    <t>Category</t>
  </si>
  <si>
    <t>Unit Price (₹)</t>
  </si>
  <si>
    <t>Stock Count</t>
  </si>
  <si>
    <t>Units Sold</t>
  </si>
  <si>
    <t>Total Revenue (₹)</t>
  </si>
  <si>
    <t>Stock Status</t>
  </si>
  <si>
    <t>PRD-101</t>
  </si>
  <si>
    <t>Wireless Ergonomic Mouse</t>
  </si>
  <si>
    <t>Electronics</t>
  </si>
  <si>
    <t>PRD-102</t>
  </si>
  <si>
    <t>Mechanical Gaming Keyboard</t>
  </si>
  <si>
    <t>PRD-103</t>
  </si>
  <si>
    <t>27-inch 4K Monitor</t>
  </si>
  <si>
    <t>PRD-104</t>
  </si>
  <si>
    <t>Noise Cancelling Headphones</t>
  </si>
  <si>
    <t>Audio</t>
  </si>
  <si>
    <t>PRD-105</t>
  </si>
  <si>
    <t>Bluetooth Soundbar</t>
  </si>
  <si>
    <t>PRD-106</t>
  </si>
  <si>
    <t>Smart Fitness Band</t>
  </si>
  <si>
    <t>Wearables</t>
  </si>
  <si>
    <t>PRD-107</t>
  </si>
  <si>
    <t>Smartwatch Series 5</t>
  </si>
  <si>
    <t>PRD-108</t>
  </si>
  <si>
    <t>USB-C Fast Charger 65W</t>
  </si>
  <si>
    <t>Accessories</t>
  </si>
  <si>
    <t>PRD-109</t>
  </si>
  <si>
    <t>Braided HDMI 2.1 Cable</t>
  </si>
  <si>
    <t>PRD-110</t>
  </si>
  <si>
    <t>External SSD 1TB</t>
  </si>
  <si>
    <t>Storage</t>
  </si>
  <si>
    <t>PRD-111</t>
  </si>
  <si>
    <t>MicroSD Card 256GB</t>
  </si>
  <si>
    <t>PRD-112</t>
  </si>
  <si>
    <t>HD Webcam 1080p</t>
  </si>
  <si>
    <t>PRD-113</t>
  </si>
  <si>
    <t>Adjustable Laptop Stand</t>
  </si>
  <si>
    <t>Furniture</t>
  </si>
  <si>
    <t>PRD-114</t>
  </si>
  <si>
    <t>Ergonomic Office Chair</t>
  </si>
  <si>
    <t>PRD-115</t>
  </si>
  <si>
    <t>Motorized Standing Desk</t>
  </si>
  <si>
    <t>PRD-116</t>
  </si>
  <si>
    <t>Wi-Fi 6 Mesh Router</t>
  </si>
  <si>
    <t>Networking</t>
  </si>
  <si>
    <t>PRD-117</t>
  </si>
  <si>
    <t>Gigabit Ethernet Switch</t>
  </si>
  <si>
    <t>PRD-118</t>
  </si>
  <si>
    <t>Laser Multifunction Printer</t>
  </si>
  <si>
    <t>Office</t>
  </si>
  <si>
    <t>PRD-119</t>
  </si>
  <si>
    <t>A4 Copier Paper (5 Reams)</t>
  </si>
  <si>
    <t>PRD-120</t>
  </si>
  <si>
    <t>Document Shredder</t>
  </si>
  <si>
    <t>PRD-121</t>
  </si>
  <si>
    <t>Wireless Presenter Remote</t>
  </si>
  <si>
    <t>PRD-122</t>
  </si>
  <si>
    <t>Magnetic Whiteboard 4x3</t>
  </si>
  <si>
    <t>PRD-123</t>
  </si>
  <si>
    <t>Gel Pen Box (Set of 20)</t>
  </si>
  <si>
    <t>Stationery</t>
  </si>
  <si>
    <t>PRD-124</t>
  </si>
  <si>
    <t>Executive Notebook A5</t>
  </si>
  <si>
    <t>PRD-125</t>
  </si>
  <si>
    <t>Desk Organizer Mesh</t>
  </si>
  <si>
    <t>PRD-126</t>
  </si>
  <si>
    <t>Spill-proof Water Bottle</t>
  </si>
  <si>
    <t>Lifestyle</t>
  </si>
  <si>
    <t>PRD-127</t>
  </si>
  <si>
    <t>Thermal Coffee Mug</t>
  </si>
  <si>
    <t>PRD-128</t>
  </si>
  <si>
    <t>Backpack with Laptop Sleeve</t>
  </si>
  <si>
    <t>PRD-129</t>
  </si>
  <si>
    <t>Surge Protector 6-Socket</t>
  </si>
  <si>
    <t>Electrical</t>
  </si>
  <si>
    <t>PRD-130</t>
  </si>
  <si>
    <t>Rechargeable Desk Lamp</t>
  </si>
  <si>
    <t>PRD-131</t>
  </si>
  <si>
    <t>Smart LED Bulb 12W</t>
  </si>
  <si>
    <t>PRD-132</t>
  </si>
  <si>
    <t>Air Purifier HEPA Filter</t>
  </si>
  <si>
    <t>Appliances</t>
  </si>
  <si>
    <t>PRD-133</t>
  </si>
  <si>
    <t>Electric Kettle 1.8L</t>
  </si>
  <si>
    <t>PRD-134</t>
  </si>
  <si>
    <t>Handheld Garment Steamer</t>
  </si>
  <si>
    <t>PRD-135</t>
  </si>
  <si>
    <t>Digital Weighing Scale</t>
  </si>
  <si>
    <t>PRD-136</t>
  </si>
  <si>
    <t>Portable Power Bank 20000mAh</t>
  </si>
  <si>
    <t>PRD-137</t>
  </si>
  <si>
    <t>Car Mobile Mount Charger</t>
  </si>
  <si>
    <t>PRD-138</t>
  </si>
  <si>
    <t>Universal Travel Adapter</t>
  </si>
  <si>
    <t>PRD-139</t>
  </si>
  <si>
    <t>Wireless Charging Pad 15W</t>
  </si>
  <si>
    <t>PRD-140</t>
  </si>
  <si>
    <t>Screen Cleaning Kit</t>
  </si>
  <si>
    <t>PRD-141</t>
  </si>
  <si>
    <t>Anti-Fatigue Foot Rest</t>
  </si>
  <si>
    <t>PRD-142</t>
  </si>
  <si>
    <t>Monitor Arm Dual Mount</t>
  </si>
  <si>
    <t>PRD-143</t>
  </si>
  <si>
    <t>Cable Management Spine</t>
  </si>
  <si>
    <t>PRD-144</t>
  </si>
  <si>
    <t>Smart Plug 16A</t>
  </si>
  <si>
    <t>PRD-145</t>
  </si>
  <si>
    <t>Mini UPS for Wi-Fi Router</t>
  </si>
  <si>
    <t>PRD-146</t>
  </si>
  <si>
    <t>Wireless Barcode Scanner</t>
  </si>
  <si>
    <t>PRD-147</t>
  </si>
  <si>
    <t>Thermal Receipt Printer</t>
  </si>
  <si>
    <t>PRD-148</t>
  </si>
  <si>
    <t>Cash Drawer 4-Bill/5-Coin</t>
  </si>
  <si>
    <t>PRD-149</t>
  </si>
  <si>
    <t>RGB Gaming Mouse Pad XL</t>
  </si>
  <si>
    <t>PRD-150</t>
  </si>
  <si>
    <t>Condenser Studio Microphone</t>
  </si>
  <si>
    <t>TOTAL</t>
  </si>
  <si>
    <t>-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</si>
</sst>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"/>
    <numFmt numFmtId="166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47556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E293B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F1F5F9"/>
        <bgColor rgb="FFF8FAFC"/>
      </patternFill>
    </fill>
    <fill>
      <patternFill patternType="solid">
        <fgColor rgb="FF2563EB"/>
        <bgColor rgb="FF0066CC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F1F5F9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outlineLevelRow="0" outlineLevelCol="0"/>
  <cols>
    <col bestFit="false" collapsed="false" customWidth="true" hidden="false" outlineLevel="0" max="1" min="1" style="0" width="64"/>
    <col bestFit="false" collapsed="false" customWidth="true" hidden="false" outlineLevel="0" max="2" min="2" style="0" width="32"/>
    <col bestFit="false" collapsed="false" customWidth="true" hidden="false" outlineLevel="0" max="3" min="3" style="0" width="15"/>
    <col bestFit="false" collapsed="false" customWidth="true" hidden="false" outlineLevel="0" max="4" min="4" style="0" width="18"/>
    <col bestFit="false" collapsed="false" customWidth="true" hidden="false" outlineLevel="0" max="6" min="5" style="0" width="16"/>
    <col bestFit="false" collapsed="false" customWidth="true" hidden="false" outlineLevel="0" max="7" min="7" style="0" width="21"/>
    <col bestFit="false" collapsed="false" customWidth="true" hidden="false" outlineLevel="0" max="8" min="8" style="0" width="69"/>
  </cols>
  <sheetData>
    <row r="1" ht="39.75" customHeight="true">
      <c r="A1" s="1" t="s">
        <v>0</v>
      </c>
      <c r="B1" s="1"/>
      <c r="C1" s="1"/>
      <c r="D1" s="1"/>
      <c r="E1" s="1"/>
      <c r="F1" s="1"/>
      <c r="G1" s="1"/>
      <c r="H1" s="1"/>
    </row>
    <row r="2" ht="19.5" customHeight="true">
      <c r="A2" s="2" t="s">
        <v>1</v>
      </c>
      <c r="B2" s="2"/>
      <c r="C2" s="2"/>
      <c r="D2" s="2"/>
      <c r="E2" s="2"/>
      <c r="F2" s="2"/>
      <c r="G2" s="2"/>
      <c r="H2" s="2"/>
    </row>
    <row r="3" ht="27.75" customHeight="tru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19.5" customHeight="true">
      <c r="A4" s="4" t="s">
        <v>10</v>
      </c>
      <c r="B4" s="5" t="s">
        <v>11</v>
      </c>
      <c r="C4" s="4" t="s">
        <v>12</v>
      </c>
      <c r="D4" s="6" t="n">
        <v>1299</v>
      </c>
      <c r="E4" s="7" t="n">
        <v>145</v>
      </c>
      <c r="F4" s="7" t="n">
        <v>320</v>
      </c>
      <c r="G4" s="6" t="n">
        <f aca="false">D4*F4</f>
        <v>415680</v>
      </c>
      <c r="H4" s="4" t="str">
        <f aca="false">IF(E4&lt;30, "Low Stock", IF(E4&gt;100, "Well Stocked", "In Stock"))</f>
        <v>Well Stocked</v>
      </c>
    </row>
    <row r="5" ht="19.5" customHeight="true">
      <c r="A5" s="8" t="s">
        <v>13</v>
      </c>
      <c r="B5" s="9" t="s">
        <v>14</v>
      </c>
      <c r="C5" s="8" t="s">
        <v>12</v>
      </c>
      <c r="D5" s="10" t="n">
        <v>3499</v>
      </c>
      <c r="E5" s="11" t="n">
        <v>85</v>
      </c>
      <c r="F5" s="11" t="n">
        <v>210</v>
      </c>
      <c r="G5" s="10" t="n">
        <f aca="false">D5*F5</f>
        <v>734790</v>
      </c>
      <c r="H5" s="8" t="str">
        <f aca="false">IF(E5&lt;30, "Low Stock", IF(E5&gt;100, "Well Stocked", "In Stock"))</f>
        <v>In Stock</v>
      </c>
    </row>
    <row r="6" ht="19.5" customHeight="true">
      <c r="A6" s="4" t="s">
        <v>15</v>
      </c>
      <c r="B6" s="5" t="s">
        <v>16</v>
      </c>
      <c r="C6" s="4" t="s">
        <v>12</v>
      </c>
      <c r="D6" s="6" t="n">
        <v>24999</v>
      </c>
      <c r="E6" s="7" t="n">
        <v>25</v>
      </c>
      <c r="F6" s="7" t="n">
        <v>65</v>
      </c>
      <c r="G6" s="6" t="n">
        <f aca="false">D6*F6</f>
        <v>1624935</v>
      </c>
      <c r="H6" s="4" t="str">
        <f aca="false">IF(E6&lt;30, "Low Stock", IF(E6&gt;100, "Well Stocked", "In Stock"))</f>
        <v>Low Stock</v>
      </c>
    </row>
    <row r="7" ht="19.5" customHeight="true">
      <c r="A7" s="8" t="s">
        <v>17</v>
      </c>
      <c r="B7" s="9" t="s">
        <v>18</v>
      </c>
      <c r="C7" s="8" t="s">
        <v>19</v>
      </c>
      <c r="D7" s="10" t="n">
        <v>8999</v>
      </c>
      <c r="E7" s="11" t="n">
        <v>40</v>
      </c>
      <c r="F7" s="11" t="n">
        <v>180</v>
      </c>
      <c r="G7" s="10" t="n">
        <f aca="false">D7*F7</f>
        <v>1619820</v>
      </c>
      <c r="H7" s="8" t="str">
        <f aca="false">IF(E7&lt;30, "Low Stock", IF(E7&gt;100, "Well Stocked", "In Stock"))</f>
        <v>In Stock</v>
      </c>
    </row>
    <row r="8" ht="19.5" customHeight="true">
      <c r="A8" s="4" t="s">
        <v>20</v>
      </c>
      <c r="B8" s="5" t="s">
        <v>21</v>
      </c>
      <c r="C8" s="4" t="s">
        <v>19</v>
      </c>
      <c r="D8" s="6" t="n">
        <v>4999</v>
      </c>
      <c r="E8" s="7" t="n">
        <v>60</v>
      </c>
      <c r="F8" s="7" t="n">
        <v>115</v>
      </c>
      <c r="G8" s="6" t="n">
        <f aca="false">D8*F8</f>
        <v>574885</v>
      </c>
      <c r="H8" s="4" t="str">
        <f aca="false">IF(E8&lt;30, "Low Stock", IF(E8&gt;100, "Well Stocked", "In Stock"))</f>
        <v>In Stock</v>
      </c>
    </row>
    <row r="9" ht="19.5" customHeight="true">
      <c r="A9" s="8" t="s">
        <v>22</v>
      </c>
      <c r="B9" s="9" t="s">
        <v>23</v>
      </c>
      <c r="C9" s="8" t="s">
        <v>24</v>
      </c>
      <c r="D9" s="10" t="n">
        <v>2199</v>
      </c>
      <c r="E9" s="11" t="n">
        <v>110</v>
      </c>
      <c r="F9" s="11" t="n">
        <v>450</v>
      </c>
      <c r="G9" s="10" t="n">
        <f aca="false">D9*F9</f>
        <v>989550</v>
      </c>
      <c r="H9" s="8" t="str">
        <f aca="false">IF(E9&lt;30, "Low Stock", IF(E9&gt;100, "Well Stocked", "In Stock"))</f>
        <v>Well Stocked</v>
      </c>
    </row>
    <row r="10" ht="19.5" customHeight="true">
      <c r="A10" s="4" t="s">
        <v>25</v>
      </c>
      <c r="B10" s="5" t="s">
        <v>26</v>
      </c>
      <c r="C10" s="4" t="s">
        <v>24</v>
      </c>
      <c r="D10" s="6" t="n">
        <v>6499</v>
      </c>
      <c r="E10" s="7" t="n">
        <v>35</v>
      </c>
      <c r="F10" s="7" t="n">
        <v>140</v>
      </c>
      <c r="G10" s="6" t="n">
        <f aca="false">D10*F10</f>
        <v>909860</v>
      </c>
      <c r="H10" s="4" t="str">
        <f aca="false">IF(E10&lt;30, "Low Stock", IF(E10&gt;100, "Well Stocked", "In Stock"))</f>
        <v>In Stock</v>
      </c>
    </row>
    <row r="11" ht="19.5" customHeight="true">
      <c r="A11" s="8" t="s">
        <v>27</v>
      </c>
      <c r="B11" s="9" t="s">
        <v>28</v>
      </c>
      <c r="C11" s="8" t="s">
        <v>29</v>
      </c>
      <c r="D11" s="10" t="n">
        <v>1499</v>
      </c>
      <c r="E11" s="11" t="n">
        <v>220</v>
      </c>
      <c r="F11" s="11" t="n">
        <v>580</v>
      </c>
      <c r="G11" s="10" t="n">
        <f aca="false">D11*F11</f>
        <v>869420</v>
      </c>
      <c r="H11" s="8" t="str">
        <f aca="false">IF(E11&lt;30, "Low Stock", IF(E11&gt;100, "Well Stocked", "In Stock"))</f>
        <v>Well Stocked</v>
      </c>
    </row>
    <row r="12" ht="19.5" customHeight="true">
      <c r="A12" s="4" t="s">
        <v>30</v>
      </c>
      <c r="B12" s="5" t="s">
        <v>31</v>
      </c>
      <c r="C12" s="4" t="s">
        <v>29</v>
      </c>
      <c r="D12" s="6" t="n">
        <v>499</v>
      </c>
      <c r="E12" s="7" t="n">
        <v>310</v>
      </c>
      <c r="F12" s="7" t="n">
        <v>820</v>
      </c>
      <c r="G12" s="6" t="n">
        <f aca="false">D12*F12</f>
        <v>409180</v>
      </c>
      <c r="H12" s="4" t="str">
        <f aca="false">IF(E12&lt;30, "Low Stock", IF(E12&gt;100, "Well Stocked", "In Stock"))</f>
        <v>Well Stocked</v>
      </c>
    </row>
    <row r="13" ht="19.5" customHeight="true">
      <c r="A13" s="8" t="s">
        <v>32</v>
      </c>
      <c r="B13" s="9" t="s">
        <v>33</v>
      </c>
      <c r="C13" s="8" t="s">
        <v>34</v>
      </c>
      <c r="D13" s="10" t="n">
        <v>7299</v>
      </c>
      <c r="E13" s="11" t="n">
        <v>50</v>
      </c>
      <c r="F13" s="11" t="n">
        <v>195</v>
      </c>
      <c r="G13" s="10" t="n">
        <f aca="false">D13*F13</f>
        <v>1423305</v>
      </c>
      <c r="H13" s="8" t="str">
        <f aca="false">IF(E13&lt;30, "Low Stock", IF(E13&gt;100, "Well Stocked", "In Stock"))</f>
        <v>In Stock</v>
      </c>
    </row>
    <row r="14" ht="19.5" customHeight="true">
      <c r="A14" s="4" t="s">
        <v>35</v>
      </c>
      <c r="B14" s="5" t="s">
        <v>36</v>
      </c>
      <c r="C14" s="4" t="s">
        <v>34</v>
      </c>
      <c r="D14" s="6" t="n">
        <v>1199</v>
      </c>
      <c r="E14" s="7" t="n">
        <v>180</v>
      </c>
      <c r="F14" s="7" t="n">
        <v>620</v>
      </c>
      <c r="G14" s="6" t="n">
        <f aca="false">D14*F14</f>
        <v>743380</v>
      </c>
      <c r="H14" s="4" t="str">
        <f aca="false">IF(E14&lt;30, "Low Stock", IF(E14&gt;100, "Well Stocked", "In Stock"))</f>
        <v>Well Stocked</v>
      </c>
    </row>
    <row r="15" ht="19.5" customHeight="true">
      <c r="A15" s="8" t="s">
        <v>37</v>
      </c>
      <c r="B15" s="9" t="s">
        <v>38</v>
      </c>
      <c r="C15" s="8" t="s">
        <v>12</v>
      </c>
      <c r="D15" s="10" t="n">
        <v>2899</v>
      </c>
      <c r="E15" s="11" t="n">
        <v>75</v>
      </c>
      <c r="F15" s="11" t="n">
        <v>240</v>
      </c>
      <c r="G15" s="10" t="n">
        <f aca="false">D15*F15</f>
        <v>695760</v>
      </c>
      <c r="H15" s="8" t="str">
        <f aca="false">IF(E15&lt;30, "Low Stock", IF(E15&gt;100, "Well Stocked", "In Stock"))</f>
        <v>In Stock</v>
      </c>
    </row>
    <row r="16" ht="19.5" customHeight="true">
      <c r="A16" s="4" t="s">
        <v>39</v>
      </c>
      <c r="B16" s="5" t="s">
        <v>40</v>
      </c>
      <c r="C16" s="4" t="s">
        <v>41</v>
      </c>
      <c r="D16" s="6" t="n">
        <v>1599</v>
      </c>
      <c r="E16" s="7" t="n">
        <v>90</v>
      </c>
      <c r="F16" s="7" t="n">
        <v>310</v>
      </c>
      <c r="G16" s="6" t="n">
        <f aca="false">D16*F16</f>
        <v>495690</v>
      </c>
      <c r="H16" s="4" t="str">
        <f aca="false">IF(E16&lt;30, "Low Stock", IF(E16&gt;100, "Well Stocked", "In Stock"))</f>
        <v>In Stock</v>
      </c>
    </row>
    <row r="17" ht="19.5" customHeight="true">
      <c r="A17" s="8" t="s">
        <v>42</v>
      </c>
      <c r="B17" s="9" t="s">
        <v>43</v>
      </c>
      <c r="C17" s="8" t="s">
        <v>41</v>
      </c>
      <c r="D17" s="10" t="n">
        <v>11999</v>
      </c>
      <c r="E17" s="11" t="n">
        <v>15</v>
      </c>
      <c r="F17" s="11" t="n">
        <v>45</v>
      </c>
      <c r="G17" s="10" t="n">
        <f aca="false">D17*F17</f>
        <v>539955</v>
      </c>
      <c r="H17" s="8" t="str">
        <f aca="false">IF(E17&lt;30, "Low Stock", IF(E17&gt;100, "Well Stocked", "In Stock"))</f>
        <v>Low Stock</v>
      </c>
    </row>
    <row r="18" ht="19.5" customHeight="true">
      <c r="A18" s="4" t="s">
        <v>44</v>
      </c>
      <c r="B18" s="5" t="s">
        <v>45</v>
      </c>
      <c r="C18" s="4" t="s">
        <v>41</v>
      </c>
      <c r="D18" s="6" t="n">
        <v>22999</v>
      </c>
      <c r="E18" s="7" t="n">
        <v>8</v>
      </c>
      <c r="F18" s="7" t="n">
        <v>28</v>
      </c>
      <c r="G18" s="6" t="n">
        <f aca="false">D18*F18</f>
        <v>643972</v>
      </c>
      <c r="H18" s="4" t="str">
        <f aca="false">IF(E18&lt;30, "Low Stock", IF(E18&gt;100, "Well Stocked", "In Stock"))</f>
        <v>Low Stock</v>
      </c>
    </row>
    <row r="19" ht="19.5" customHeight="true">
      <c r="A19" s="8" t="s">
        <v>46</v>
      </c>
      <c r="B19" s="9" t="s">
        <v>47</v>
      </c>
      <c r="C19" s="8" t="s">
        <v>48</v>
      </c>
      <c r="D19" s="10" t="n">
        <v>6999</v>
      </c>
      <c r="E19" s="11" t="n">
        <v>42</v>
      </c>
      <c r="F19" s="11" t="n">
        <v>130</v>
      </c>
      <c r="G19" s="10" t="n">
        <f aca="false">D19*F19</f>
        <v>909870</v>
      </c>
      <c r="H19" s="8" t="str">
        <f aca="false">IF(E19&lt;30, "Low Stock", IF(E19&gt;100, "Well Stocked", "In Stock"))</f>
        <v>In Stock</v>
      </c>
    </row>
    <row r="20" ht="19.5" customHeight="true">
      <c r="A20" s="4" t="s">
        <v>49</v>
      </c>
      <c r="B20" s="5" t="s">
        <v>50</v>
      </c>
      <c r="C20" s="4" t="s">
        <v>48</v>
      </c>
      <c r="D20" s="6" t="n">
        <v>2499</v>
      </c>
      <c r="E20" s="7" t="n">
        <v>65</v>
      </c>
      <c r="F20" s="7" t="n">
        <v>175</v>
      </c>
      <c r="G20" s="6" t="n">
        <f aca="false">D20*F20</f>
        <v>437325</v>
      </c>
      <c r="H20" s="4" t="str">
        <f aca="false">IF(E20&lt;30, "Low Stock", IF(E20&gt;100, "Well Stocked", "In Stock"))</f>
        <v>In Stock</v>
      </c>
    </row>
    <row r="21" ht="19.5" customHeight="true">
      <c r="A21" s="8" t="s">
        <v>51</v>
      </c>
      <c r="B21" s="9" t="s">
        <v>52</v>
      </c>
      <c r="C21" s="8" t="s">
        <v>53</v>
      </c>
      <c r="D21" s="10" t="n">
        <v>16499</v>
      </c>
      <c r="E21" s="11" t="n">
        <v>18</v>
      </c>
      <c r="F21" s="11" t="n">
        <v>52</v>
      </c>
      <c r="G21" s="10" t="n">
        <f aca="false">D21*F21</f>
        <v>857948</v>
      </c>
      <c r="H21" s="8" t="str">
        <f aca="false">IF(E21&lt;30, "Low Stock", IF(E21&gt;100, "Well Stocked", "In Stock"))</f>
        <v>Low Stock</v>
      </c>
    </row>
    <row r="22" ht="19.5" customHeight="true">
      <c r="A22" s="4" t="s">
        <v>54</v>
      </c>
      <c r="B22" s="5" t="s">
        <v>55</v>
      </c>
      <c r="C22" s="4" t="s">
        <v>53</v>
      </c>
      <c r="D22" s="6" t="n">
        <v>1250</v>
      </c>
      <c r="E22" s="7" t="n">
        <v>140</v>
      </c>
      <c r="F22" s="7" t="n">
        <v>410</v>
      </c>
      <c r="G22" s="6" t="n">
        <f aca="false">D22*F22</f>
        <v>512500</v>
      </c>
      <c r="H22" s="4" t="str">
        <f aca="false">IF(E22&lt;30, "Low Stock", IF(E22&gt;100, "Well Stocked", "In Stock"))</f>
        <v>Well Stocked</v>
      </c>
    </row>
    <row r="23" ht="19.5" customHeight="true">
      <c r="A23" s="8" t="s">
        <v>56</v>
      </c>
      <c r="B23" s="9" t="s">
        <v>57</v>
      </c>
      <c r="C23" s="8" t="s">
        <v>53</v>
      </c>
      <c r="D23" s="10" t="n">
        <v>3999</v>
      </c>
      <c r="E23" s="11" t="n">
        <v>28</v>
      </c>
      <c r="F23" s="11" t="n">
        <v>85</v>
      </c>
      <c r="G23" s="10" t="n">
        <f aca="false">D23*F23</f>
        <v>339915</v>
      </c>
      <c r="H23" s="8" t="str">
        <f aca="false">IF(E23&lt;30, "Low Stock", IF(E23&gt;100, "Well Stocked", "In Stock"))</f>
        <v>Low Stock</v>
      </c>
    </row>
    <row r="24" ht="19.5" customHeight="true">
      <c r="A24" s="4" t="s">
        <v>58</v>
      </c>
      <c r="B24" s="5" t="s">
        <v>59</v>
      </c>
      <c r="C24" s="4" t="s">
        <v>53</v>
      </c>
      <c r="D24" s="6" t="n">
        <v>1199</v>
      </c>
      <c r="E24" s="7" t="n">
        <v>85</v>
      </c>
      <c r="F24" s="7" t="n">
        <v>220</v>
      </c>
      <c r="G24" s="6" t="n">
        <f aca="false">D24*F24</f>
        <v>263780</v>
      </c>
      <c r="H24" s="4" t="str">
        <f aca="false">IF(E24&lt;30, "Low Stock", IF(E24&gt;100, "Well Stocked", "In Stock"))</f>
        <v>In Stock</v>
      </c>
    </row>
    <row r="25" ht="19.5" customHeight="true">
      <c r="A25" s="8" t="s">
        <v>60</v>
      </c>
      <c r="B25" s="9" t="s">
        <v>61</v>
      </c>
      <c r="C25" s="8" t="s">
        <v>53</v>
      </c>
      <c r="D25" s="10" t="n">
        <v>2199</v>
      </c>
      <c r="E25" s="11" t="n">
        <v>45</v>
      </c>
      <c r="F25" s="11" t="n">
        <v>110</v>
      </c>
      <c r="G25" s="10" t="n">
        <f aca="false">D25*F25</f>
        <v>241890</v>
      </c>
      <c r="H25" s="8" t="str">
        <f aca="false">IF(E25&lt;30, "Low Stock", IF(E25&gt;100, "Well Stocked", "In Stock"))</f>
        <v>In Stock</v>
      </c>
    </row>
    <row r="26" ht="19.5" customHeight="true">
      <c r="A26" s="4" t="s">
        <v>62</v>
      </c>
      <c r="B26" s="5" t="s">
        <v>63</v>
      </c>
      <c r="C26" s="4" t="s">
        <v>64</v>
      </c>
      <c r="D26" s="6" t="n">
        <v>299</v>
      </c>
      <c r="E26" s="7" t="n">
        <v>450</v>
      </c>
      <c r="F26" s="7" t="n">
        <v>1200</v>
      </c>
      <c r="G26" s="6" t="n">
        <f aca="false">D26*F26</f>
        <v>358800</v>
      </c>
      <c r="H26" s="4" t="str">
        <f aca="false">IF(E26&lt;30, "Low Stock", IF(E26&gt;100, "Well Stocked", "In Stock"))</f>
        <v>Well Stocked</v>
      </c>
    </row>
    <row r="27" ht="19.5" customHeight="true">
      <c r="A27" s="8" t="s">
        <v>65</v>
      </c>
      <c r="B27" s="9" t="s">
        <v>66</v>
      </c>
      <c r="C27" s="8" t="s">
        <v>64</v>
      </c>
      <c r="D27" s="10" t="n">
        <v>399</v>
      </c>
      <c r="E27" s="11" t="n">
        <v>260</v>
      </c>
      <c r="F27" s="11" t="n">
        <v>680</v>
      </c>
      <c r="G27" s="10" t="n">
        <f aca="false">D27*F27</f>
        <v>271320</v>
      </c>
      <c r="H27" s="8" t="str">
        <f aca="false">IF(E27&lt;30, "Low Stock", IF(E27&gt;100, "Well Stocked", "In Stock"))</f>
        <v>Well Stocked</v>
      </c>
    </row>
    <row r="28" ht="19.5" customHeight="true">
      <c r="A28" s="4" t="s">
        <v>67</v>
      </c>
      <c r="B28" s="5" t="s">
        <v>68</v>
      </c>
      <c r="C28" s="4" t="s">
        <v>64</v>
      </c>
      <c r="D28" s="6" t="n">
        <v>599</v>
      </c>
      <c r="E28" s="7" t="n">
        <v>120</v>
      </c>
      <c r="F28" s="7" t="n">
        <v>340</v>
      </c>
      <c r="G28" s="6" t="n">
        <f aca="false">D28*F28</f>
        <v>203660</v>
      </c>
      <c r="H28" s="4" t="str">
        <f aca="false">IF(E28&lt;30, "Low Stock", IF(E28&gt;100, "Well Stocked", "In Stock"))</f>
        <v>Well Stocked</v>
      </c>
    </row>
    <row r="29" ht="19.5" customHeight="true">
      <c r="A29" s="8" t="s">
        <v>69</v>
      </c>
      <c r="B29" s="9" t="s">
        <v>70</v>
      </c>
      <c r="C29" s="8" t="s">
        <v>71</v>
      </c>
      <c r="D29" s="10" t="n">
        <v>799</v>
      </c>
      <c r="E29" s="11" t="n">
        <v>175</v>
      </c>
      <c r="F29" s="11" t="n">
        <v>490</v>
      </c>
      <c r="G29" s="10" t="n">
        <f aca="false">D29*F29</f>
        <v>391510</v>
      </c>
      <c r="H29" s="8" t="str">
        <f aca="false">IF(E29&lt;30, "Low Stock", IF(E29&gt;100, "Well Stocked", "In Stock"))</f>
        <v>Well Stocked</v>
      </c>
    </row>
    <row r="30" ht="19.5" customHeight="true">
      <c r="A30" s="4" t="s">
        <v>72</v>
      </c>
      <c r="B30" s="5" t="s">
        <v>73</v>
      </c>
      <c r="C30" s="4" t="s">
        <v>71</v>
      </c>
      <c r="D30" s="6" t="n">
        <v>999</v>
      </c>
      <c r="E30" s="7" t="n">
        <v>130</v>
      </c>
      <c r="F30" s="7" t="n">
        <v>380</v>
      </c>
      <c r="G30" s="6" t="n">
        <f aca="false">D30*F30</f>
        <v>379620</v>
      </c>
      <c r="H30" s="4" t="str">
        <f aca="false">IF(E30&lt;30, "Low Stock", IF(E30&gt;100, "Well Stocked", "In Stock"))</f>
        <v>Well Stocked</v>
      </c>
    </row>
    <row r="31" ht="19.5" customHeight="true">
      <c r="A31" s="8" t="s">
        <v>74</v>
      </c>
      <c r="B31" s="9" t="s">
        <v>75</v>
      </c>
      <c r="C31" s="8" t="s">
        <v>71</v>
      </c>
      <c r="D31" s="10" t="n">
        <v>2499</v>
      </c>
      <c r="E31" s="11" t="n">
        <v>65</v>
      </c>
      <c r="F31" s="11" t="n">
        <v>210</v>
      </c>
      <c r="G31" s="10" t="n">
        <f aca="false">D31*F31</f>
        <v>524790</v>
      </c>
      <c r="H31" s="8" t="str">
        <f aca="false">IF(E31&lt;30, "Low Stock", IF(E31&gt;100, "Well Stocked", "In Stock"))</f>
        <v>In Stock</v>
      </c>
    </row>
    <row r="32" ht="19.5" customHeight="true">
      <c r="A32" s="4" t="s">
        <v>76</v>
      </c>
      <c r="B32" s="5" t="s">
        <v>77</v>
      </c>
      <c r="C32" s="4" t="s">
        <v>78</v>
      </c>
      <c r="D32" s="6" t="n">
        <v>1199</v>
      </c>
      <c r="E32" s="7" t="n">
        <v>115</v>
      </c>
      <c r="F32" s="7" t="n">
        <v>390</v>
      </c>
      <c r="G32" s="6" t="n">
        <f aca="false">D32*F32</f>
        <v>467610</v>
      </c>
      <c r="H32" s="4" t="str">
        <f aca="false">IF(E32&lt;30, "Low Stock", IF(E32&gt;100, "Well Stocked", "In Stock"))</f>
        <v>Well Stocked</v>
      </c>
    </row>
    <row r="33" ht="19.5" customHeight="true">
      <c r="A33" s="8" t="s">
        <v>79</v>
      </c>
      <c r="B33" s="9" t="s">
        <v>80</v>
      </c>
      <c r="C33" s="8" t="s">
        <v>78</v>
      </c>
      <c r="D33" s="10" t="n">
        <v>1399</v>
      </c>
      <c r="E33" s="11" t="n">
        <v>95</v>
      </c>
      <c r="F33" s="11" t="n">
        <v>270</v>
      </c>
      <c r="G33" s="10" t="n">
        <f aca="false">D33*F33</f>
        <v>377730</v>
      </c>
      <c r="H33" s="8" t="str">
        <f aca="false">IF(E33&lt;30, "Low Stock", IF(E33&gt;100, "Well Stocked", "In Stock"))</f>
        <v>In Stock</v>
      </c>
    </row>
    <row r="34" ht="19.5" customHeight="true">
      <c r="A34" s="4" t="s">
        <v>81</v>
      </c>
      <c r="B34" s="5" t="s">
        <v>82</v>
      </c>
      <c r="C34" s="4" t="s">
        <v>78</v>
      </c>
      <c r="D34" s="6" t="n">
        <v>599</v>
      </c>
      <c r="E34" s="7" t="n">
        <v>210</v>
      </c>
      <c r="F34" s="7" t="n">
        <v>750</v>
      </c>
      <c r="G34" s="6" t="n">
        <f aca="false">D34*F34</f>
        <v>449250</v>
      </c>
      <c r="H34" s="4" t="str">
        <f aca="false">IF(E34&lt;30, "Low Stock", IF(E34&gt;100, "Well Stocked", "In Stock"))</f>
        <v>Well Stocked</v>
      </c>
    </row>
    <row r="35" ht="19.5" customHeight="true">
      <c r="A35" s="8" t="s">
        <v>83</v>
      </c>
      <c r="B35" s="9" t="s">
        <v>84</v>
      </c>
      <c r="C35" s="8" t="s">
        <v>85</v>
      </c>
      <c r="D35" s="10" t="n">
        <v>9499</v>
      </c>
      <c r="E35" s="11" t="n">
        <v>22</v>
      </c>
      <c r="F35" s="11" t="n">
        <v>70</v>
      </c>
      <c r="G35" s="10" t="n">
        <f aca="false">D35*F35</f>
        <v>664930</v>
      </c>
      <c r="H35" s="8" t="str">
        <f aca="false">IF(E35&lt;30, "Low Stock", IF(E35&gt;100, "Well Stocked", "In Stock"))</f>
        <v>Low Stock</v>
      </c>
    </row>
    <row r="36" ht="19.5" customHeight="true">
      <c r="A36" s="4" t="s">
        <v>86</v>
      </c>
      <c r="B36" s="5" t="s">
        <v>87</v>
      </c>
      <c r="C36" s="4" t="s">
        <v>85</v>
      </c>
      <c r="D36" s="6" t="n">
        <v>1299</v>
      </c>
      <c r="E36" s="7" t="n">
        <v>80</v>
      </c>
      <c r="F36" s="7" t="n">
        <v>260</v>
      </c>
      <c r="G36" s="6" t="n">
        <f aca="false">D36*F36</f>
        <v>337740</v>
      </c>
      <c r="H36" s="4" t="str">
        <f aca="false">IF(E36&lt;30, "Low Stock", IF(E36&gt;100, "Well Stocked", "In Stock"))</f>
        <v>In Stock</v>
      </c>
    </row>
    <row r="37" ht="19.5" customHeight="true">
      <c r="A37" s="8" t="s">
        <v>88</v>
      </c>
      <c r="B37" s="9" t="s">
        <v>89</v>
      </c>
      <c r="C37" s="8" t="s">
        <v>85</v>
      </c>
      <c r="D37" s="10" t="n">
        <v>2199</v>
      </c>
      <c r="E37" s="11" t="n">
        <v>45</v>
      </c>
      <c r="F37" s="11" t="n">
        <v>135</v>
      </c>
      <c r="G37" s="10" t="n">
        <f aca="false">D37*F37</f>
        <v>296865</v>
      </c>
      <c r="H37" s="8" t="str">
        <f aca="false">IF(E37&lt;30, "Low Stock", IF(E37&gt;100, "Well Stocked", "In Stock"))</f>
        <v>In Stock</v>
      </c>
    </row>
    <row r="38" ht="19.5" customHeight="true">
      <c r="A38" s="4" t="s">
        <v>90</v>
      </c>
      <c r="B38" s="5" t="s">
        <v>91</v>
      </c>
      <c r="C38" s="4" t="s">
        <v>85</v>
      </c>
      <c r="D38" s="6" t="n">
        <v>899</v>
      </c>
      <c r="E38" s="7" t="n">
        <v>110</v>
      </c>
      <c r="F38" s="7" t="n">
        <v>310</v>
      </c>
      <c r="G38" s="6" t="n">
        <f aca="false">D38*F38</f>
        <v>278690</v>
      </c>
      <c r="H38" s="4" t="str">
        <f aca="false">IF(E38&lt;30, "Low Stock", IF(E38&gt;100, "Well Stocked", "In Stock"))</f>
        <v>Well Stocked</v>
      </c>
    </row>
    <row r="39" ht="19.5" customHeight="true">
      <c r="A39" s="8" t="s">
        <v>92</v>
      </c>
      <c r="B39" s="9" t="s">
        <v>93</v>
      </c>
      <c r="C39" s="8" t="s">
        <v>29</v>
      </c>
      <c r="D39" s="10" t="n">
        <v>1999</v>
      </c>
      <c r="E39" s="11" t="n">
        <v>140</v>
      </c>
      <c r="F39" s="11" t="n">
        <v>480</v>
      </c>
      <c r="G39" s="10" t="n">
        <f aca="false">D39*F39</f>
        <v>959520</v>
      </c>
      <c r="H39" s="8" t="str">
        <f aca="false">IF(E39&lt;30, "Low Stock", IF(E39&gt;100, "Well Stocked", "In Stock"))</f>
        <v>Well Stocked</v>
      </c>
    </row>
    <row r="40" ht="19.5" customHeight="true">
      <c r="A40" s="4" t="s">
        <v>94</v>
      </c>
      <c r="B40" s="5" t="s">
        <v>95</v>
      </c>
      <c r="C40" s="4" t="s">
        <v>29</v>
      </c>
      <c r="D40" s="6" t="n">
        <v>849</v>
      </c>
      <c r="E40" s="7" t="n">
        <v>160</v>
      </c>
      <c r="F40" s="7" t="n">
        <v>430</v>
      </c>
      <c r="G40" s="6" t="n">
        <f aca="false">D40*F40</f>
        <v>365070</v>
      </c>
      <c r="H40" s="4" t="str">
        <f aca="false">IF(E40&lt;30, "Low Stock", IF(E40&gt;100, "Well Stocked", "In Stock"))</f>
        <v>Well Stocked</v>
      </c>
    </row>
    <row r="41" ht="19.5" customHeight="true">
      <c r="A41" s="8" t="s">
        <v>96</v>
      </c>
      <c r="B41" s="9" t="s">
        <v>97</v>
      </c>
      <c r="C41" s="8" t="s">
        <v>29</v>
      </c>
      <c r="D41" s="10" t="n">
        <v>699</v>
      </c>
      <c r="E41" s="11" t="n">
        <v>190</v>
      </c>
      <c r="F41" s="11" t="n">
        <v>520</v>
      </c>
      <c r="G41" s="10" t="n">
        <f aca="false">D41*F41</f>
        <v>363480</v>
      </c>
      <c r="H41" s="8" t="str">
        <f aca="false">IF(E41&lt;30, "Low Stock", IF(E41&gt;100, "Well Stocked", "In Stock"))</f>
        <v>Well Stocked</v>
      </c>
    </row>
    <row r="42" ht="19.5" customHeight="true">
      <c r="A42" s="4" t="s">
        <v>98</v>
      </c>
      <c r="B42" s="5" t="s">
        <v>99</v>
      </c>
      <c r="C42" s="4" t="s">
        <v>29</v>
      </c>
      <c r="D42" s="6" t="n">
        <v>1299</v>
      </c>
      <c r="E42" s="7" t="n">
        <v>85</v>
      </c>
      <c r="F42" s="7" t="n">
        <v>290</v>
      </c>
      <c r="G42" s="6" t="n">
        <f aca="false">D42*F42</f>
        <v>376710</v>
      </c>
      <c r="H42" s="4" t="str">
        <f aca="false">IF(E42&lt;30, "Low Stock", IF(E42&gt;100, "Well Stocked", "In Stock"))</f>
        <v>In Stock</v>
      </c>
    </row>
    <row r="43" ht="19.5" customHeight="true">
      <c r="A43" s="8" t="s">
        <v>100</v>
      </c>
      <c r="B43" s="9" t="s">
        <v>101</v>
      </c>
      <c r="C43" s="8" t="s">
        <v>29</v>
      </c>
      <c r="D43" s="10" t="n">
        <v>299</v>
      </c>
      <c r="E43" s="11" t="n">
        <v>320</v>
      </c>
      <c r="F43" s="11" t="n">
        <v>890</v>
      </c>
      <c r="G43" s="10" t="n">
        <f aca="false">D43*F43</f>
        <v>266110</v>
      </c>
      <c r="H43" s="8" t="str">
        <f aca="false">IF(E43&lt;30, "Low Stock", IF(E43&gt;100, "Well Stocked", "In Stock"))</f>
        <v>Well Stocked</v>
      </c>
    </row>
    <row r="44" ht="19.5" customHeight="true">
      <c r="A44" s="4" t="s">
        <v>102</v>
      </c>
      <c r="B44" s="5" t="s">
        <v>103</v>
      </c>
      <c r="C44" s="4" t="s">
        <v>41</v>
      </c>
      <c r="D44" s="6" t="n">
        <v>1499</v>
      </c>
      <c r="E44" s="7" t="n">
        <v>55</v>
      </c>
      <c r="F44" s="7" t="n">
        <v>160</v>
      </c>
      <c r="G44" s="6" t="n">
        <f aca="false">D44*F44</f>
        <v>239840</v>
      </c>
      <c r="H44" s="4" t="str">
        <f aca="false">IF(E44&lt;30, "Low Stock", IF(E44&gt;100, "Well Stocked", "In Stock"))</f>
        <v>In Stock</v>
      </c>
    </row>
    <row r="45" ht="19.5" customHeight="true">
      <c r="A45" s="8" t="s">
        <v>104</v>
      </c>
      <c r="B45" s="9" t="s">
        <v>105</v>
      </c>
      <c r="C45" s="8" t="s">
        <v>41</v>
      </c>
      <c r="D45" s="10" t="n">
        <v>3899</v>
      </c>
      <c r="E45" s="11" t="n">
        <v>30</v>
      </c>
      <c r="F45" s="11" t="n">
        <v>95</v>
      </c>
      <c r="G45" s="10" t="n">
        <f aca="false">D45*F45</f>
        <v>370405</v>
      </c>
      <c r="H45" s="8" t="str">
        <f aca="false">IF(E45&lt;30, "Low Stock", IF(E45&gt;100, "Well Stocked", "In Stock"))</f>
        <v>In Stock</v>
      </c>
    </row>
    <row r="46" ht="19.5" customHeight="true">
      <c r="A46" s="4" t="s">
        <v>106</v>
      </c>
      <c r="B46" s="5" t="s">
        <v>107</v>
      </c>
      <c r="C46" s="4" t="s">
        <v>41</v>
      </c>
      <c r="D46" s="6" t="n">
        <v>899</v>
      </c>
      <c r="E46" s="7" t="n">
        <v>70</v>
      </c>
      <c r="F46" s="7" t="n">
        <v>210</v>
      </c>
      <c r="G46" s="6" t="n">
        <f aca="false">D46*F46</f>
        <v>188790</v>
      </c>
      <c r="H46" s="4" t="str">
        <f aca="false">IF(E46&lt;30, "Low Stock", IF(E46&gt;100, "Well Stocked", "In Stock"))</f>
        <v>In Stock</v>
      </c>
    </row>
    <row r="47" ht="19.5" customHeight="true">
      <c r="A47" s="8" t="s">
        <v>108</v>
      </c>
      <c r="B47" s="9" t="s">
        <v>109</v>
      </c>
      <c r="C47" s="8" t="s">
        <v>78</v>
      </c>
      <c r="D47" s="10" t="n">
        <v>899</v>
      </c>
      <c r="E47" s="11" t="n">
        <v>150</v>
      </c>
      <c r="F47" s="11" t="n">
        <v>460</v>
      </c>
      <c r="G47" s="10" t="n">
        <f aca="false">D47*F47</f>
        <v>413540</v>
      </c>
      <c r="H47" s="8" t="str">
        <f aca="false">IF(E47&lt;30, "Low Stock", IF(E47&gt;100, "Well Stocked", "In Stock"))</f>
        <v>Well Stocked</v>
      </c>
    </row>
    <row r="48" ht="19.5" customHeight="true">
      <c r="A48" s="4" t="s">
        <v>110</v>
      </c>
      <c r="B48" s="5" t="s">
        <v>111</v>
      </c>
      <c r="C48" s="4" t="s">
        <v>12</v>
      </c>
      <c r="D48" s="6" t="n">
        <v>1799</v>
      </c>
      <c r="E48" s="7" t="n">
        <v>65</v>
      </c>
      <c r="F48" s="7" t="n">
        <v>230</v>
      </c>
      <c r="G48" s="6" t="n">
        <f aca="false">D48*F48</f>
        <v>413770</v>
      </c>
      <c r="H48" s="4" t="str">
        <f aca="false">IF(E48&lt;30, "Low Stock", IF(E48&gt;100, "Well Stocked", "In Stock"))</f>
        <v>In Stock</v>
      </c>
    </row>
    <row r="49" ht="19.5" customHeight="true">
      <c r="A49" s="8" t="s">
        <v>112</v>
      </c>
      <c r="B49" s="9" t="s">
        <v>113</v>
      </c>
      <c r="C49" s="8" t="s">
        <v>53</v>
      </c>
      <c r="D49" s="10" t="n">
        <v>3299</v>
      </c>
      <c r="E49" s="11" t="n">
        <v>25</v>
      </c>
      <c r="F49" s="11" t="n">
        <v>75</v>
      </c>
      <c r="G49" s="10" t="n">
        <f aca="false">D49*F49</f>
        <v>247425</v>
      </c>
      <c r="H49" s="8" t="str">
        <f aca="false">IF(E49&lt;30, "Low Stock", IF(E49&gt;100, "Well Stocked", "In Stock"))</f>
        <v>Low Stock</v>
      </c>
    </row>
    <row r="50" ht="19.5" customHeight="true">
      <c r="A50" s="4" t="s">
        <v>114</v>
      </c>
      <c r="B50" s="5" t="s">
        <v>115</v>
      </c>
      <c r="C50" s="4" t="s">
        <v>53</v>
      </c>
      <c r="D50" s="6" t="n">
        <v>4599</v>
      </c>
      <c r="E50" s="7" t="n">
        <v>20</v>
      </c>
      <c r="F50" s="7" t="n">
        <v>60</v>
      </c>
      <c r="G50" s="6" t="n">
        <f aca="false">D50*F50</f>
        <v>275940</v>
      </c>
      <c r="H50" s="4" t="str">
        <f aca="false">IF(E50&lt;30, "Low Stock", IF(E50&gt;100, "Well Stocked", "In Stock"))</f>
        <v>Low Stock</v>
      </c>
    </row>
    <row r="51" ht="19.5" customHeight="true">
      <c r="A51" s="8" t="s">
        <v>116</v>
      </c>
      <c r="B51" s="9" t="s">
        <v>117</v>
      </c>
      <c r="C51" s="8" t="s">
        <v>53</v>
      </c>
      <c r="D51" s="10" t="n">
        <v>2899</v>
      </c>
      <c r="E51" s="11" t="n">
        <v>18</v>
      </c>
      <c r="F51" s="11" t="n">
        <v>48</v>
      </c>
      <c r="G51" s="10" t="n">
        <f aca="false">D51*F51</f>
        <v>139152</v>
      </c>
      <c r="H51" s="8" t="str">
        <f aca="false">IF(E51&lt;30, "Low Stock", IF(E51&gt;100, "Well Stocked", "In Stock"))</f>
        <v>Low Stock</v>
      </c>
    </row>
    <row r="52" ht="19.5" customHeight="true">
      <c r="A52" s="4" t="s">
        <v>118</v>
      </c>
      <c r="B52" s="5" t="s">
        <v>119</v>
      </c>
      <c r="C52" s="4" t="s">
        <v>29</v>
      </c>
      <c r="D52" s="6" t="n">
        <v>999</v>
      </c>
      <c r="E52" s="7" t="n">
        <v>115</v>
      </c>
      <c r="F52" s="7" t="n">
        <v>340</v>
      </c>
      <c r="G52" s="6" t="n">
        <f aca="false">D52*F52</f>
        <v>339660</v>
      </c>
      <c r="H52" s="4" t="str">
        <f aca="false">IF(E52&lt;30, "Low Stock", IF(E52&gt;100, "Well Stocked", "In Stock"))</f>
        <v>Well Stocked</v>
      </c>
    </row>
    <row r="53" ht="19.5" customHeight="true">
      <c r="A53" s="8" t="s">
        <v>120</v>
      </c>
      <c r="B53" s="9" t="s">
        <v>121</v>
      </c>
      <c r="C53" s="8" t="s">
        <v>19</v>
      </c>
      <c r="D53" s="10" t="n">
        <v>4299</v>
      </c>
      <c r="E53" s="11" t="n">
        <v>35</v>
      </c>
      <c r="F53" s="11" t="n">
        <v>110</v>
      </c>
      <c r="G53" s="10" t="n">
        <f aca="false">D53*F53</f>
        <v>472890</v>
      </c>
      <c r="H53" s="8" t="str">
        <f aca="false">IF(E53&lt;30, "Low Stock", IF(E53&gt;100, "Well Stocked", "In Stock"))</f>
        <v>In Stock</v>
      </c>
    </row>
    <row r="54" ht="24" customHeight="true">
      <c r="A54" s="12" t="s">
        <v>122</v>
      </c>
      <c r="B54" s="12"/>
      <c r="C54" s="12"/>
      <c r="D54" s="12"/>
      <c r="E54" s="13" t="n">
        <f aca="false">SUM(E4:E53)</f>
        <v>5226</v>
      </c>
      <c r="F54" s="13" t="n">
        <f aca="false">SUM(F4:F53)</f>
        <v>15383</v>
      </c>
      <c r="G54" s="14" t="n">
        <f aca="false">SUM(G4:G53)</f>
        <v>26688227</v>
      </c>
      <c r="H54" s="15" t="s">
        <v>123</v>
      </c>
    </row>
  </sheetData>
  <mergeCells count="3">
    <mergeCell ref="A1:H1"/>
    <mergeCell ref="A2:H2"/>
    <mergeCell ref="A54:D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LibreOfficeDev/24.8.7.2.0$Android_AARCH64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2026-09-22T14:35:39Z</dcterms:created>
  <dc:creator>openpyxl</dc:creator>
  <dc:description/>
  <dc:language>en-US</dc:language>
  <cp:lastModifiedBy/>
  <dcterms:modified xsi:type="dcterms:W3CDTF">2026-09-22T14:35:39Z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